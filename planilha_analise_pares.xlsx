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o_Executivo" sheetId="1" r:id="rId4"/>
    <sheet state="visible" name="Página1" sheetId="2" r:id="rId5"/>
  </sheets>
  <definedNames/>
  <calcPr/>
  <extLst>
    <ext uri="GoogleSheetsCustomDataVersion2">
      <go:sheetsCustomData xmlns:go="http://customooxmlschemas.google.com/" r:id="rId6" roundtripDataChecksum="xz9t9bzj0Q4kvUWXEGQ9esJsU0Po6+n5h7wd0otfoyk="/>
    </ext>
  </extLst>
</workbook>
</file>

<file path=xl/sharedStrings.xml><?xml version="1.0" encoding="utf-8"?>
<sst xmlns="http://schemas.openxmlformats.org/spreadsheetml/2006/main" count="55" uniqueCount="55">
  <si>
    <t>BumbaLM</t>
  </si>
  <si>
    <t>CRITERIOS DE FILTRAGEM</t>
  </si>
  <si>
    <t>Filtros:
- Filtro Minimo de Ementa (Query): Retencao estrita de ementas com &gt;= 50 palavras.
- Filtro Minimo de Inteiro Teor (Positivo): Retencao estrita de acordaos/decisoes com &gt;= 150 palavras.
- Limpeza Textual Profunda: Remocao de tags HTML, eliminacao de carimbos de assinatura digital e paginacao, line reflow e uniao de hifens.
- Deduplicacao Rigorosa: Eliminacao de duplicatas de processo pelo numero unico CNJ e descarte de campos nulos.</t>
  </si>
  <si>
    <t>TOTAL DE PARES VALIDOS
2,937,474</t>
  </si>
  <si>
    <t>VOLUME TOTAL EM DISCO
~60 GB</t>
  </si>
  <si>
    <t>TRIBUNAIS COBERTOS
18</t>
  </si>
  <si>
    <t>MEDIA PALAVRAS (EMENTA)
223 palavras</t>
  </si>
  <si>
    <t>MEDIA PALAVRAS (TEOR)
2,256 palavras</t>
  </si>
  <si>
    <t>Tribunal</t>
  </si>
  <si>
    <t>Arquivo</t>
  </si>
  <si>
    <t>Pares Validos</t>
  </si>
  <si>
    <t>% do Total</t>
  </si>
  <si>
    <t>Disco (MB)</t>
  </si>
  <si>
    <t>Disco (GB)</t>
  </si>
  <si>
    <t>Media Palavras (Ementa)</t>
  </si>
  <si>
    <t>Media Palavras (Teor)</t>
  </si>
  <si>
    <t>Razao Media (Teor/Em)</t>
  </si>
  <si>
    <t>TJBA</t>
  </si>
  <si>
    <t>pares_tjba.jsonl</t>
  </si>
  <si>
    <t>TST</t>
  </si>
  <si>
    <t>pares_tst.jsonl</t>
  </si>
  <si>
    <t>TJRS</t>
  </si>
  <si>
    <t>pares_tjrs.jsonl</t>
  </si>
  <si>
    <t>TJPB</t>
  </si>
  <si>
    <t>pares_tjpb.jsonl</t>
  </si>
  <si>
    <t>TJDF</t>
  </si>
  <si>
    <t>pares_tjdf.jsonl</t>
  </si>
  <si>
    <t>TJPR</t>
  </si>
  <si>
    <t>pares_tjpr.jsonl</t>
  </si>
  <si>
    <t>TJES</t>
  </si>
  <si>
    <t>pares_tjes.jsonl</t>
  </si>
  <si>
    <t>TJMS</t>
  </si>
  <si>
    <t>pares_tjms.jsonl</t>
  </si>
  <si>
    <t>TJPA</t>
  </si>
  <si>
    <t>pares_tjpa.jsonl</t>
  </si>
  <si>
    <t>STF</t>
  </si>
  <si>
    <t>pares_stf.jsonl</t>
  </si>
  <si>
    <t>TJRO</t>
  </si>
  <si>
    <t>pares_tjro.jsonl</t>
  </si>
  <si>
    <t>TJMA</t>
  </si>
  <si>
    <t>pares_tjma.jsonl</t>
  </si>
  <si>
    <t>TJRR</t>
  </si>
  <si>
    <t>pares_tjrr.jsonl</t>
  </si>
  <si>
    <t>TCU</t>
  </si>
  <si>
    <t>pares_tcu.jsonl</t>
  </si>
  <si>
    <t>TJRN</t>
  </si>
  <si>
    <t>pares_tjrn.jsonl</t>
  </si>
  <si>
    <t>CNJ</t>
  </si>
  <si>
    <t>pares_cnj.jsonl</t>
  </si>
  <si>
    <t>STM</t>
  </si>
  <si>
    <t>pares_stm.jsonl</t>
  </si>
  <si>
    <t>TSE</t>
  </si>
  <si>
    <t>pares_tse.jsonl</t>
  </si>
  <si>
    <t>TOTAL CONSOLIDADO</t>
  </si>
  <si>
    <t>18 arquivos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</si>
</sst>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%"/>
    <numFmt numFmtId="165" formatCode="#,##0.0"/>
    <numFmt numFmtId="166" formatCode="0.0&quot;x&quot;"/>
  </numFmts>
  <fonts count="9">
    <font>
      <sz val="11.0"/>
      <color theme="1"/>
      <name val="Calibri"/>
      <scheme val="minor"/>
    </font>
    <font>
      <sz val="12.0"/>
      <color rgb="FF000000"/>
      <name val="Arial"/>
    </font>
    <font>
      <b/>
      <sz val="16.0"/>
      <color rgb="FF1E293B"/>
      <name val="Calibri"/>
    </font>
    <font>
      <b/>
      <sz val="11.0"/>
      <color rgb="FF0F172A"/>
      <name val="Calibri"/>
    </font>
    <font/>
    <font>
      <sz val="10.0"/>
      <color rgb="FF334155"/>
      <name val="Calibri"/>
    </font>
    <font>
      <b/>
      <sz val="16.0"/>
      <color rgb="FF0F172A"/>
      <name val="Calibri"/>
    </font>
    <font>
      <b/>
      <sz val="11.0"/>
      <color rgb="FFFFFFFF"/>
      <name val="Calibri"/>
    </font>
    <font>
      <sz val="11.0"/>
      <color rgb="FF1E293B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E2E8F0"/>
        <bgColor rgb="FFE2E8F0"/>
      </patternFill>
    </fill>
    <fill>
      <patternFill patternType="solid">
        <fgColor rgb="FFF1F5F9"/>
        <bgColor rgb="FFF1F5F9"/>
      </patternFill>
    </fill>
    <fill>
      <patternFill patternType="solid">
        <fgColor rgb="FFF8FAFC"/>
        <bgColor rgb="FFF8FAFC"/>
      </patternFill>
    </fill>
    <fill>
      <patternFill patternType="solid">
        <fgColor rgb="FF1E293B"/>
        <bgColor rgb="FF1E293B"/>
      </patternFill>
    </fill>
  </fills>
  <borders count="20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/>
    </border>
    <border>
      <top/>
    </border>
    <border>
      <right style="medium">
        <color rgb="FF000000"/>
      </right>
      <top/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thin">
        <color rgb="FFCBD5E1"/>
      </bottom>
    </border>
    <border>
      <bottom style="thin">
        <color rgb="FFCBD5E1"/>
      </bottom>
    </border>
    <border>
      <right style="medium">
        <color rgb="FF000000"/>
      </right>
      <bottom style="thin">
        <color rgb="FFCBD5E1"/>
      </bottom>
    </border>
    <border>
      <left style="medium">
        <color rgb="FF000000"/>
      </left>
      <top style="thin">
        <color rgb="FFCBD5E1"/>
      </top>
      <bottom style="medium">
        <color rgb="FF000000"/>
      </bottom>
    </border>
    <border>
      <right style="thin">
        <color rgb="FFCBD5E1"/>
      </right>
      <top style="thin">
        <color rgb="FFCBD5E1"/>
      </top>
      <bottom style="medium">
        <color rgb="FF000000"/>
      </bottom>
    </border>
    <border>
      <left style="thin">
        <color rgb="FFCBD5E1"/>
      </left>
      <top style="thin">
        <color rgb="FFCBD5E1"/>
      </top>
      <bottom style="medium">
        <color rgb="FF000000"/>
      </bottom>
    </border>
    <border>
      <left/>
      <right/>
      <top style="thin">
        <color rgb="FFCBD5E1"/>
      </top>
      <bottom style="medium">
        <color rgb="FF000000"/>
      </bottom>
    </border>
    <border>
      <right style="medium">
        <color rgb="FF000000"/>
      </right>
      <top style="thin">
        <color rgb="FFCBD5E1"/>
      </top>
      <bottom style="medium">
        <color rgb="FF000000"/>
      </bottom>
    </border>
    <border>
      <left/>
      <right/>
      <top/>
      <bottom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  <border>
      <left/>
      <right/>
      <top style="thin">
        <color rgb="FF64748B"/>
      </top>
      <bottom style="double">
        <color rgb="FF0F172A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Alignment="1" applyBorder="1" applyFill="1" applyFont="1">
      <alignment horizontal="left" vertical="center"/>
    </xf>
    <xf borderId="2" fillId="0" fontId="4" numFmtId="0" xfId="0" applyBorder="1" applyFont="1"/>
    <xf borderId="3" fillId="0" fontId="4" numFmtId="0" xfId="0" applyBorder="1" applyFont="1"/>
    <xf borderId="4" fillId="3" fontId="5" numFmtId="0" xfId="0" applyAlignment="1" applyBorder="1" applyFill="1" applyFont="1">
      <alignment horizontal="left" shrinkToFit="0" vertical="top" wrapText="1"/>
    </xf>
    <xf borderId="5" fillId="0" fontId="4" numFmtId="0" xfId="0" applyBorder="1" applyFont="1"/>
    <xf borderId="6" fillId="0" fontId="4" numFmtId="0" xfId="0" applyBorder="1" applyFont="1"/>
    <xf borderId="7" fillId="0" fontId="4" numFmtId="0" xfId="0" applyBorder="1" applyFont="1"/>
    <xf borderId="8" fillId="0" fontId="4" numFmtId="0" xfId="0" applyBorder="1" applyFont="1"/>
    <xf borderId="9" fillId="0" fontId="4" numFmtId="0" xfId="0" applyBorder="1" applyFont="1"/>
    <xf borderId="10" fillId="0" fontId="4" numFmtId="0" xfId="0" applyBorder="1" applyFont="1"/>
    <xf borderId="11" fillId="0" fontId="4" numFmtId="0" xfId="0" applyBorder="1" applyFont="1"/>
    <xf borderId="12" fillId="4" fontId="6" numFmtId="0" xfId="0" applyAlignment="1" applyBorder="1" applyFill="1" applyFont="1">
      <alignment horizontal="center" shrinkToFit="0" vertical="center" wrapText="1"/>
    </xf>
    <xf borderId="13" fillId="0" fontId="4" numFmtId="0" xfId="0" applyBorder="1" applyFont="1"/>
    <xf borderId="14" fillId="4" fontId="6" numFmtId="0" xfId="0" applyAlignment="1" applyBorder="1" applyFill="1" applyFont="1">
      <alignment horizontal="center" shrinkToFit="0" vertical="center" wrapText="1"/>
    </xf>
    <xf borderId="15" fillId="4" fontId="6" numFmtId="0" xfId="0" applyAlignment="1" applyBorder="1" applyFill="1" applyFont="1">
      <alignment horizontal="center" shrinkToFit="0" vertical="center" wrapText="1"/>
    </xf>
    <xf borderId="16" fillId="0" fontId="4" numFmtId="0" xfId="0" applyBorder="1" applyFont="1"/>
    <xf borderId="17" fillId="5" fontId="7" numFmtId="0" xfId="0" applyAlignment="1" applyBorder="1" applyFill="1" applyFont="1">
      <alignment horizontal="center" vertical="center"/>
    </xf>
    <xf borderId="18" fillId="0" fontId="8" numFmtId="0" xfId="0" applyAlignment="1" applyBorder="1" applyFont="1">
      <alignment horizontal="center"/>
    </xf>
    <xf borderId="18" fillId="0" fontId="8" numFmtId="0" xfId="0" applyAlignment="1" applyBorder="1" applyFont="1">
      <alignment horizontal="left"/>
    </xf>
    <xf borderId="18" fillId="0" fontId="8" numFmtId="3" xfId="0" applyAlignment="1" applyBorder="1" applyFont="1" applyNumberFormat="1">
      <alignment horizontal="right"/>
    </xf>
    <xf borderId="18" fillId="0" fontId="8" numFmtId="164" xfId="0" applyAlignment="1" applyBorder="1" applyFont="1" applyNumberFormat="1">
      <alignment horizontal="right"/>
    </xf>
    <xf borderId="18" fillId="0" fontId="8" numFmtId="165" xfId="0" applyAlignment="1" applyBorder="1" applyFont="1" applyNumberFormat="1">
      <alignment horizontal="right"/>
    </xf>
    <xf borderId="18" fillId="0" fontId="8" numFmtId="166" xfId="0" applyAlignment="1" applyBorder="1" applyFont="1" applyNumberFormat="1">
      <alignment horizontal="right"/>
    </xf>
    <xf borderId="18" fillId="4" fontId="8" numFmtId="0" xfId="0" applyAlignment="1" applyBorder="1" applyFill="1" applyFont="1">
      <alignment horizontal="center"/>
    </xf>
    <xf borderId="18" fillId="4" fontId="8" numFmtId="0" xfId="0" applyAlignment="1" applyBorder="1" applyFill="1" applyFont="1">
      <alignment horizontal="left"/>
    </xf>
    <xf borderId="18" fillId="4" fontId="8" numFmtId="3" xfId="0" applyAlignment="1" applyBorder="1" applyFill="1" applyFont="1" applyNumberFormat="1">
      <alignment horizontal="right"/>
    </xf>
    <xf borderId="18" fillId="4" fontId="8" numFmtId="164" xfId="0" applyAlignment="1" applyBorder="1" applyFill="1" applyFont="1" applyNumberFormat="1">
      <alignment horizontal="right"/>
    </xf>
    <xf borderId="18" fillId="4" fontId="8" numFmtId="165" xfId="0" applyAlignment="1" applyBorder="1" applyFill="1" applyFont="1" applyNumberFormat="1">
      <alignment horizontal="right"/>
    </xf>
    <xf borderId="18" fillId="4" fontId="8" numFmtId="166" xfId="0" applyAlignment="1" applyBorder="1" applyFill="1" applyFont="1" applyNumberFormat="1">
      <alignment horizontal="right"/>
    </xf>
    <xf borderId="19" fillId="2" fontId="3" numFmtId="0" xfId="0" applyAlignment="1" applyBorder="1" applyFill="1" applyFont="1">
      <alignment horizontal="center"/>
    </xf>
    <xf borderId="19" fillId="2" fontId="3" numFmtId="0" xfId="0" applyBorder="1" applyFill="1" applyFont="1"/>
    <xf borderId="19" fillId="2" fontId="3" numFmtId="3" xfId="0" applyBorder="1" applyFill="1" applyFont="1" applyNumberFormat="1"/>
    <xf borderId="19" fillId="2" fontId="3" numFmtId="164" xfId="0" applyBorder="1" applyFill="1" applyFont="1" applyNumberFormat="1"/>
    <xf borderId="19" fillId="2" fontId="3" numFmtId="165" xfId="0" applyBorder="1" applyFill="1" applyFont="1" applyNumberFormat="1"/>
    <xf borderId="19" fillId="2" fontId="3" numFmtId="166" xfId="0" applyBorder="1" applyFill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0"/>
    <col customWidth="1" min="2" max="2" width="64.0"/>
    <col customWidth="1" min="3" max="3" width="20.0"/>
    <col customWidth="1" min="4" max="4" width="17.0"/>
    <col customWidth="1" min="5" max="5" width="24.0"/>
    <col customWidth="1" min="6" max="7" width="17.0"/>
    <col customWidth="1" min="8" max="8" width="27.0"/>
    <col customWidth="1" min="9" max="10" width="25.0"/>
    <col customWidth="1" min="11" max="26" width="8.71"/>
  </cols>
  <sheetData>
    <row r="2">
      <c r="B2" s="2" t="s">
        <v>0</v>
      </c>
    </row>
    <row r="4">
      <c r="B4" s="3" t="s">
        <v>1</v>
      </c>
      <c r="C4" s="4"/>
      <c r="D4" s="4"/>
      <c r="E4" s="4"/>
      <c r="F4" s="4"/>
      <c r="G4" s="4"/>
      <c r="H4" s="4"/>
      <c r="I4" s="4"/>
      <c r="J4" s="5"/>
    </row>
    <row r="5">
      <c r="B5" s="6" t="s">
        <v>2</v>
      </c>
      <c r="C5" s="7"/>
      <c r="D5" s="7"/>
      <c r="E5" s="7"/>
      <c r="F5" s="7"/>
      <c r="G5" s="7"/>
      <c r="H5" s="7"/>
      <c r="I5" s="7"/>
      <c r="J5" s="8"/>
    </row>
    <row r="6">
      <c r="B6" s="9"/>
      <c r="J6" s="10"/>
    </row>
    <row r="7">
      <c r="B7" s="9"/>
      <c r="J7" s="10"/>
    </row>
    <row r="8" ht="40.5" customHeight="1">
      <c r="B8" s="11"/>
      <c r="C8" s="12"/>
      <c r="D8" s="12"/>
      <c r="E8" s="12"/>
      <c r="F8" s="12"/>
      <c r="G8" s="12"/>
      <c r="H8" s="12"/>
      <c r="I8" s="12"/>
      <c r="J8" s="13"/>
    </row>
    <row r="9" ht="66.75" customHeight="1">
      <c r="B9" s="14" t="s">
        <v>3</v>
      </c>
      <c r="C9" s="15"/>
      <c r="D9" s="16" t="s">
        <v>4</v>
      </c>
      <c r="E9" s="15"/>
      <c r="F9" s="16" t="s">
        <v>5</v>
      </c>
      <c r="G9" s="15"/>
      <c r="H9" s="17" t="s">
        <v>6</v>
      </c>
      <c r="I9" s="16" t="s">
        <v>7</v>
      </c>
      <c r="J9" s="18"/>
    </row>
    <row r="12">
      <c r="B12" s="19" t="s">
        <v>8</v>
      </c>
      <c r="C12" s="19" t="s">
        <v>9</v>
      </c>
      <c r="D12" s="19" t="s">
        <v>10</v>
      </c>
      <c r="E12" s="19" t="s">
        <v>11</v>
      </c>
      <c r="F12" s="19" t="s">
        <v>12</v>
      </c>
      <c r="G12" s="19" t="s">
        <v>13</v>
      </c>
      <c r="H12" s="19" t="s">
        <v>14</v>
      </c>
      <c r="I12" s="19" t="s">
        <v>15</v>
      </c>
      <c r="J12" s="19" t="s">
        <v>16</v>
      </c>
    </row>
    <row r="13">
      <c r="B13" s="20" t="s">
        <v>17</v>
      </c>
      <c r="C13" s="21" t="s">
        <v>18</v>
      </c>
      <c r="D13" s="22">
        <v>497163.0</v>
      </c>
      <c r="E13" s="23">
        <v>0.169</v>
      </c>
      <c r="F13" s="24">
        <v>4089.3</v>
      </c>
      <c r="G13" s="24">
        <v>3.99</v>
      </c>
      <c r="H13" s="22">
        <v>82.0</v>
      </c>
      <c r="I13" s="22">
        <v>908.0</v>
      </c>
      <c r="J13" s="25">
        <v>11.2</v>
      </c>
    </row>
    <row r="14">
      <c r="B14" s="26" t="s">
        <v>19</v>
      </c>
      <c r="C14" s="27" t="s">
        <v>20</v>
      </c>
      <c r="D14" s="28">
        <v>486135.0</v>
      </c>
      <c r="E14" s="29">
        <v>0.165</v>
      </c>
      <c r="F14" s="30">
        <v>14375.2</v>
      </c>
      <c r="G14" s="30">
        <v>14.04</v>
      </c>
      <c r="H14" s="28">
        <v>225.0</v>
      </c>
      <c r="I14" s="28">
        <v>3031.0</v>
      </c>
      <c r="J14" s="31">
        <v>12.0</v>
      </c>
    </row>
    <row r="15">
      <c r="B15" s="20" t="s">
        <v>21</v>
      </c>
      <c r="C15" s="21" t="s">
        <v>22</v>
      </c>
      <c r="D15" s="22">
        <v>482492.0</v>
      </c>
      <c r="E15" s="23">
        <v>0.164</v>
      </c>
      <c r="F15" s="24">
        <v>10849.3</v>
      </c>
      <c r="G15" s="24">
        <v>10.6</v>
      </c>
      <c r="H15" s="22">
        <v>190.0</v>
      </c>
      <c r="I15" s="22">
        <v>2465.0</v>
      </c>
      <c r="J15" s="25">
        <v>13.2</v>
      </c>
    </row>
    <row r="16">
      <c r="B16" s="26" t="s">
        <v>23</v>
      </c>
      <c r="C16" s="27" t="s">
        <v>24</v>
      </c>
      <c r="D16" s="28">
        <v>298494.0</v>
      </c>
      <c r="E16" s="29">
        <v>0.102</v>
      </c>
      <c r="F16" s="30">
        <v>5150.4</v>
      </c>
      <c r="G16" s="30">
        <v>5.03</v>
      </c>
      <c r="H16" s="28">
        <v>283.0</v>
      </c>
      <c r="I16" s="28">
        <v>1844.0</v>
      </c>
      <c r="J16" s="31">
        <v>6.3</v>
      </c>
    </row>
    <row r="17">
      <c r="B17" s="20" t="s">
        <v>25</v>
      </c>
      <c r="C17" s="21" t="s">
        <v>26</v>
      </c>
      <c r="D17" s="22">
        <v>278234.0</v>
      </c>
      <c r="E17" s="23">
        <v>0.095</v>
      </c>
      <c r="F17" s="24">
        <v>6748.7</v>
      </c>
      <c r="G17" s="24">
        <v>6.59</v>
      </c>
      <c r="H17" s="22">
        <v>278.0</v>
      </c>
      <c r="I17" s="22">
        <v>2620.0</v>
      </c>
      <c r="J17" s="25">
        <v>10.1</v>
      </c>
    </row>
    <row r="18">
      <c r="B18" s="26" t="s">
        <v>27</v>
      </c>
      <c r="C18" s="27" t="s">
        <v>28</v>
      </c>
      <c r="D18" s="28">
        <v>199827.0</v>
      </c>
      <c r="E18" s="29">
        <v>0.068</v>
      </c>
      <c r="F18" s="30">
        <v>2612.9</v>
      </c>
      <c r="G18" s="30">
        <v>2.55</v>
      </c>
      <c r="H18" s="28">
        <v>114.0</v>
      </c>
      <c r="I18" s="28">
        <v>1333.0</v>
      </c>
      <c r="J18" s="31">
        <v>11.0</v>
      </c>
    </row>
    <row r="19">
      <c r="B19" s="20" t="s">
        <v>29</v>
      </c>
      <c r="C19" s="21" t="s">
        <v>30</v>
      </c>
      <c r="D19" s="22">
        <v>151826.0</v>
      </c>
      <c r="E19" s="23">
        <v>0.052</v>
      </c>
      <c r="F19" s="24">
        <v>2881.3</v>
      </c>
      <c r="G19" s="24">
        <v>2.81</v>
      </c>
      <c r="H19" s="22">
        <v>340.0</v>
      </c>
      <c r="I19" s="22">
        <v>1904.0</v>
      </c>
      <c r="J19" s="25">
        <v>6.2</v>
      </c>
    </row>
    <row r="20">
      <c r="B20" s="26" t="s">
        <v>31</v>
      </c>
      <c r="C20" s="27" t="s">
        <v>32</v>
      </c>
      <c r="D20" s="28">
        <v>126778.0</v>
      </c>
      <c r="E20" s="29">
        <v>0.043</v>
      </c>
      <c r="F20" s="30">
        <v>2618.8</v>
      </c>
      <c r="G20" s="30">
        <v>2.56</v>
      </c>
      <c r="H20" s="28">
        <v>191.0</v>
      </c>
      <c r="I20" s="28">
        <v>2093.0</v>
      </c>
      <c r="J20" s="31">
        <v>10.2</v>
      </c>
    </row>
    <row r="21" ht="15.75" customHeight="1">
      <c r="B21" s="20" t="s">
        <v>33</v>
      </c>
      <c r="C21" s="21" t="s">
        <v>34</v>
      </c>
      <c r="D21" s="22">
        <v>107317.0</v>
      </c>
      <c r="E21" s="23">
        <v>0.03700000000000001</v>
      </c>
      <c r="F21" s="24">
        <v>2212.1</v>
      </c>
      <c r="G21" s="24">
        <v>2.16</v>
      </c>
      <c r="H21" s="22">
        <v>431.0</v>
      </c>
      <c r="I21" s="22">
        <v>2215.0</v>
      </c>
      <c r="J21" s="25">
        <v>5.5</v>
      </c>
    </row>
    <row r="22" ht="15.75" customHeight="1">
      <c r="B22" s="26" t="s">
        <v>35</v>
      </c>
      <c r="C22" s="27" t="s">
        <v>36</v>
      </c>
      <c r="D22" s="28">
        <v>80813.0</v>
      </c>
      <c r="E22" s="29">
        <v>0.028</v>
      </c>
      <c r="F22" s="30">
        <v>4066.6</v>
      </c>
      <c r="G22" s="30">
        <v>3.97</v>
      </c>
      <c r="H22" s="28">
        <v>154.0</v>
      </c>
      <c r="I22" s="28">
        <v>4191.0</v>
      </c>
      <c r="J22" s="31">
        <v>27.6</v>
      </c>
    </row>
    <row r="23" ht="15.75" customHeight="1">
      <c r="B23" s="20" t="s">
        <v>37</v>
      </c>
      <c r="C23" s="21" t="s">
        <v>38</v>
      </c>
      <c r="D23" s="22">
        <v>71794.0</v>
      </c>
      <c r="E23" s="23">
        <v>0.024</v>
      </c>
      <c r="F23" s="24">
        <v>1193.2</v>
      </c>
      <c r="G23" s="24">
        <v>1.17</v>
      </c>
      <c r="H23" s="22">
        <v>348.0</v>
      </c>
      <c r="I23" s="22">
        <v>1728.0</v>
      </c>
      <c r="J23" s="25">
        <v>5.1</v>
      </c>
    </row>
    <row r="24" ht="15.75" customHeight="1">
      <c r="B24" s="26" t="s">
        <v>39</v>
      </c>
      <c r="C24" s="27" t="s">
        <v>40</v>
      </c>
      <c r="D24" s="28">
        <v>67128.0</v>
      </c>
      <c r="E24" s="29">
        <v>0.023</v>
      </c>
      <c r="F24" s="30">
        <v>709.6</v>
      </c>
      <c r="G24" s="30">
        <v>0.69</v>
      </c>
      <c r="H24" s="28">
        <v>399.0</v>
      </c>
      <c r="I24" s="28">
        <v>784.0</v>
      </c>
      <c r="J24" s="31">
        <v>1.4</v>
      </c>
    </row>
    <row r="25" ht="15.75" customHeight="1">
      <c r="B25" s="20" t="s">
        <v>41</v>
      </c>
      <c r="C25" s="21" t="s">
        <v>42</v>
      </c>
      <c r="D25" s="22">
        <v>26366.0</v>
      </c>
      <c r="E25" s="23">
        <v>0.009000000000000001</v>
      </c>
      <c r="F25" s="24">
        <v>406.0</v>
      </c>
      <c r="G25" s="24">
        <v>0.4</v>
      </c>
      <c r="H25" s="22">
        <v>128.0</v>
      </c>
      <c r="I25" s="22">
        <v>1635.0</v>
      </c>
      <c r="J25" s="25">
        <v>12.6</v>
      </c>
    </row>
    <row r="26" ht="15.75" customHeight="1">
      <c r="B26" s="26" t="s">
        <v>43</v>
      </c>
      <c r="C26" s="27" t="s">
        <v>44</v>
      </c>
      <c r="D26" s="28">
        <v>20463.0</v>
      </c>
      <c r="E26" s="29">
        <v>0.006999999999999999</v>
      </c>
      <c r="F26" s="30">
        <v>856.3</v>
      </c>
      <c r="G26" s="30">
        <v>0.84</v>
      </c>
      <c r="H26" s="28">
        <v>59.0</v>
      </c>
      <c r="I26" s="28">
        <v>3464.0</v>
      </c>
      <c r="J26" s="31">
        <v>57.5</v>
      </c>
    </row>
    <row r="27" ht="15.75" customHeight="1">
      <c r="B27" s="20" t="s">
        <v>45</v>
      </c>
      <c r="C27" s="21" t="s">
        <v>46</v>
      </c>
      <c r="D27" s="22">
        <v>17727.0</v>
      </c>
      <c r="E27" s="23">
        <v>0.006</v>
      </c>
      <c r="F27" s="24">
        <v>480.9</v>
      </c>
      <c r="G27" s="24">
        <v>0.47</v>
      </c>
      <c r="H27" s="22">
        <v>339.0</v>
      </c>
      <c r="I27" s="22">
        <v>2977.0</v>
      </c>
      <c r="J27" s="25">
        <v>9.5</v>
      </c>
    </row>
    <row r="28" ht="15.75" customHeight="1">
      <c r="B28" s="26" t="s">
        <v>47</v>
      </c>
      <c r="C28" s="27" t="s">
        <v>48</v>
      </c>
      <c r="D28" s="28">
        <v>10233.0</v>
      </c>
      <c r="E28" s="29">
        <v>0.003</v>
      </c>
      <c r="F28" s="30">
        <v>320.7</v>
      </c>
      <c r="G28" s="30">
        <v>0.31</v>
      </c>
      <c r="H28" s="28">
        <v>163.0</v>
      </c>
      <c r="I28" s="28">
        <v>2610.0</v>
      </c>
      <c r="J28" s="31">
        <v>15.4</v>
      </c>
    </row>
    <row r="29" ht="15.75" customHeight="1">
      <c r="B29" s="20" t="s">
        <v>49</v>
      </c>
      <c r="C29" s="21" t="s">
        <v>50</v>
      </c>
      <c r="D29" s="22">
        <v>8017.0</v>
      </c>
      <c r="E29" s="23">
        <v>0.003</v>
      </c>
      <c r="F29" s="24">
        <v>433.0</v>
      </c>
      <c r="G29" s="24">
        <v>0.42</v>
      </c>
      <c r="H29" s="22">
        <v>222.0</v>
      </c>
      <c r="I29" s="22">
        <v>5704.0</v>
      </c>
      <c r="J29" s="25">
        <v>25.0</v>
      </c>
    </row>
    <row r="30" ht="15.75" customHeight="1">
      <c r="B30" s="26" t="s">
        <v>51</v>
      </c>
      <c r="C30" s="27" t="s">
        <v>52</v>
      </c>
      <c r="D30" s="28">
        <v>6667.0</v>
      </c>
      <c r="E30" s="29">
        <v>0.002</v>
      </c>
      <c r="F30" s="30">
        <v>167.8</v>
      </c>
      <c r="G30" s="30">
        <v>0.16</v>
      </c>
      <c r="H30" s="28">
        <v>273.0</v>
      </c>
      <c r="I30" s="28">
        <v>2298.0</v>
      </c>
      <c r="J30" s="31">
        <v>8.4</v>
      </c>
    </row>
    <row r="31" ht="15.75" customHeight="1">
      <c r="B31" s="32" t="s">
        <v>53</v>
      </c>
      <c r="C31" s="33" t="s">
        <v>54</v>
      </c>
      <c r="D31" s="34">
        <f>SUM(D13:D30)</f>
        <v>2937474</v>
      </c>
      <c r="E31" s="35">
        <v>1.0</v>
      </c>
      <c r="F31" s="36">
        <f t="shared" ref="F31:G31" si="1">SUM(F13:F30)</f>
        <v>60172.1</v>
      </c>
      <c r="G31" s="36">
        <f t="shared" si="1"/>
        <v>58.76</v>
      </c>
      <c r="H31" s="34">
        <v>223.0</v>
      </c>
      <c r="I31" s="34">
        <v>2256.0</v>
      </c>
      <c r="J31" s="37">
        <v>10.6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4:J4"/>
    <mergeCell ref="B5:J8"/>
    <mergeCell ref="B9:C9"/>
    <mergeCell ref="D9:E9"/>
    <mergeCell ref="F9:G9"/>
    <mergeCell ref="I9:J9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4">
      <c r="E4" s="1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2026-09-24T13:45:40Z</dcterms:created>
  <dc:creator>openpyxl</dc:creator>
</cp:coreProperties>
</file>